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V361\"/>
    </mc:Choice>
  </mc:AlternateContent>
  <xr:revisionPtr revIDLastSave="0" documentId="13_ncr:1_{F5C3CAFC-C846-4885-B01B-CF0476E6DEC0}" xr6:coauthVersionLast="47" xr6:coauthVersionMax="47" xr10:uidLastSave="{00000000-0000-0000-0000-000000000000}"/>
  <bookViews>
    <workbookView xWindow="-108" yWindow="-108" windowWidth="23256" windowHeight="12456" activeTab="1" xr2:uid="{4EB5057D-499F-4D85-ACE4-D39C06C049EC}"/>
  </bookViews>
  <sheets>
    <sheet name="16-09-26" sheetId="1" r:id="rId1"/>
    <sheet name="17-09-26" sheetId="2" r:id="rId2"/>
    <sheet name="18-09-2026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4" i="2" l="1"/>
  <c r="K5" i="2"/>
  <c r="K6" i="2"/>
  <c r="K7" i="2"/>
  <c r="K8" i="2"/>
  <c r="K9" i="2"/>
  <c r="K10" i="2"/>
  <c r="K11" i="2"/>
  <c r="K12" i="2"/>
  <c r="K3" i="2"/>
  <c r="J4" i="2"/>
  <c r="J5" i="2"/>
  <c r="J6" i="2"/>
  <c r="J7" i="2"/>
  <c r="J8" i="2"/>
  <c r="J9" i="2"/>
  <c r="J10" i="2"/>
  <c r="J11" i="2"/>
  <c r="J12" i="2"/>
  <c r="J3" i="2"/>
  <c r="J17" i="2"/>
  <c r="J18" i="2"/>
  <c r="J19" i="2"/>
  <c r="J20" i="2"/>
  <c r="J21" i="2"/>
  <c r="J22" i="2"/>
  <c r="J23" i="2"/>
  <c r="J24" i="2"/>
  <c r="J25" i="2"/>
  <c r="J26" i="2"/>
  <c r="J16" i="2"/>
  <c r="I17" i="2"/>
  <c r="I18" i="2"/>
  <c r="I19" i="2"/>
  <c r="I20" i="2"/>
  <c r="I21" i="2"/>
  <c r="I22" i="2"/>
  <c r="I23" i="2"/>
  <c r="I24" i="2"/>
  <c r="I25" i="2"/>
  <c r="I26" i="2"/>
  <c r="I16" i="2"/>
  <c r="H17" i="2"/>
  <c r="H18" i="2"/>
  <c r="H19" i="2"/>
  <c r="H20" i="2"/>
  <c r="H21" i="2"/>
  <c r="H22" i="2"/>
  <c r="H23" i="2"/>
  <c r="H24" i="2"/>
  <c r="H25" i="2"/>
  <c r="H26" i="2"/>
  <c r="H16" i="2"/>
  <c r="G17" i="2"/>
  <c r="G18" i="2"/>
  <c r="G19" i="2"/>
  <c r="G20" i="2"/>
  <c r="G21" i="2"/>
  <c r="G22" i="2"/>
  <c r="G23" i="2"/>
  <c r="G24" i="2"/>
  <c r="G25" i="2"/>
  <c r="G26" i="2"/>
  <c r="G16" i="2"/>
  <c r="F17" i="2"/>
  <c r="F18" i="2"/>
  <c r="F19" i="2"/>
  <c r="F20" i="2"/>
  <c r="F21" i="2"/>
  <c r="F22" i="2"/>
  <c r="F23" i="2"/>
  <c r="F24" i="2"/>
  <c r="F25" i="2"/>
  <c r="F26" i="2"/>
  <c r="F16" i="2"/>
  <c r="E17" i="2"/>
  <c r="E18" i="2"/>
  <c r="E19" i="2"/>
  <c r="E20" i="2"/>
  <c r="E21" i="2"/>
  <c r="E22" i="2"/>
  <c r="E23" i="2"/>
  <c r="E24" i="2"/>
  <c r="E25" i="2"/>
  <c r="E26" i="2"/>
  <c r="E16" i="2"/>
  <c r="I4" i="2"/>
  <c r="I5" i="2"/>
  <c r="I6" i="2"/>
  <c r="I7" i="2"/>
  <c r="I8" i="2"/>
  <c r="I9" i="2"/>
  <c r="I10" i="2"/>
  <c r="I11" i="2"/>
  <c r="I12" i="2"/>
  <c r="H4" i="2"/>
  <c r="H5" i="2"/>
  <c r="H6" i="2"/>
  <c r="H7" i="2"/>
  <c r="H8" i="2"/>
  <c r="H9" i="2"/>
  <c r="H10" i="2"/>
  <c r="H11" i="2"/>
  <c r="H12" i="2"/>
  <c r="G4" i="2"/>
  <c r="G5" i="2"/>
  <c r="G6" i="2"/>
  <c r="G7" i="2"/>
  <c r="G8" i="2"/>
  <c r="G9" i="2"/>
  <c r="G10" i="2"/>
  <c r="G11" i="2"/>
  <c r="G12" i="2"/>
  <c r="F4" i="2"/>
  <c r="F5" i="2"/>
  <c r="F6" i="2"/>
  <c r="F7" i="2"/>
  <c r="F8" i="2"/>
  <c r="F9" i="2"/>
  <c r="F10" i="2"/>
  <c r="F11" i="2"/>
  <c r="F12" i="2"/>
  <c r="I3" i="2"/>
  <c r="H3" i="2"/>
  <c r="G3" i="2"/>
  <c r="F3" i="2"/>
  <c r="E4" i="2"/>
  <c r="E5" i="2"/>
  <c r="E6" i="2"/>
  <c r="E7" i="2"/>
  <c r="E8" i="2"/>
  <c r="E9" i="2"/>
  <c r="E10" i="2"/>
  <c r="E11" i="2"/>
  <c r="E12" i="2"/>
  <c r="E3" i="2"/>
</calcChain>
</file>

<file path=xl/sharedStrings.xml><?xml version="1.0" encoding="utf-8"?>
<sst xmlns="http://schemas.openxmlformats.org/spreadsheetml/2006/main" count="61" uniqueCount="49">
  <si>
    <t xml:space="preserve">Emp_ID </t>
  </si>
  <si>
    <t>Name</t>
  </si>
  <si>
    <t xml:space="preserve"> Department</t>
  </si>
  <si>
    <t>Designation</t>
  </si>
  <si>
    <t>Salary</t>
  </si>
  <si>
    <t>Accounts</t>
  </si>
  <si>
    <t>HR</t>
  </si>
  <si>
    <t>Finanace</t>
  </si>
  <si>
    <t>Administration</t>
  </si>
  <si>
    <t>Logistics</t>
  </si>
  <si>
    <t>Stores</t>
  </si>
  <si>
    <t>Marketing</t>
  </si>
  <si>
    <t>Communication</t>
  </si>
  <si>
    <t>IT Cell</t>
  </si>
  <si>
    <t>Greiveance</t>
  </si>
  <si>
    <t>Student Data</t>
  </si>
  <si>
    <t>Maths</t>
  </si>
  <si>
    <t>Science</t>
  </si>
  <si>
    <t>English</t>
  </si>
  <si>
    <t>Rahul</t>
  </si>
  <si>
    <t>Soham</t>
  </si>
  <si>
    <t>Virat</t>
  </si>
  <si>
    <t>Rohit</t>
  </si>
  <si>
    <t>Sanju</t>
  </si>
  <si>
    <t>Abhishek</t>
  </si>
  <si>
    <t>Kishan</t>
  </si>
  <si>
    <t>Shami</t>
  </si>
  <si>
    <t>Bumrah</t>
  </si>
  <si>
    <t>Shuvi</t>
  </si>
  <si>
    <t>Sum</t>
  </si>
  <si>
    <t>Average</t>
  </si>
  <si>
    <t>Percentage</t>
  </si>
  <si>
    <t>Performance lag</t>
  </si>
  <si>
    <t>Discount(18%)</t>
  </si>
  <si>
    <t>Discount (18%)</t>
  </si>
  <si>
    <t>Varsha</t>
  </si>
  <si>
    <t>Snehal</t>
  </si>
  <si>
    <t>Yashda</t>
  </si>
  <si>
    <t>Siddhi</t>
  </si>
  <si>
    <t>Pritesh</t>
  </si>
  <si>
    <t>Saurav</t>
  </si>
  <si>
    <t>Vaibhav</t>
  </si>
  <si>
    <t>Aakash</t>
  </si>
  <si>
    <t>Aniket</t>
  </si>
  <si>
    <t>Ghynshyam</t>
  </si>
  <si>
    <t>Ronny</t>
  </si>
  <si>
    <t>Discount</t>
  </si>
  <si>
    <t>discount</t>
  </si>
  <si>
    <t>Mixed Referencing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</si>
</sst>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Continuous"/>
    </xf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554A3-3CC8-4642-8BAC-3D33E024E9DA}">
  <dimension ref="A1:E11"/>
  <sheetViews>
    <sheetView workbookViewId="0">
      <selection activeCell="E24" sqref="E24"/>
    </sheetView>
  </sheetViews>
  <sheetFormatPr defaultRowHeight="14.4" x14ac:dyDescent="0.3"/>
  <cols>
    <col min="1" max="1" width="7.33203125" bestFit="1" customWidth="1"/>
    <col min="2" max="2" width="5.88671875" bestFit="1" customWidth="1"/>
    <col min="3" max="3" width="15.77734375" customWidth="1"/>
    <col min="4" max="4" width="10.441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C2" t="s">
        <v>5</v>
      </c>
    </row>
    <row r="3" spans="1:5" x14ac:dyDescent="0.3">
      <c r="A3">
        <v>2</v>
      </c>
      <c r="C3" t="s">
        <v>6</v>
      </c>
    </row>
    <row r="4" spans="1:5" x14ac:dyDescent="0.3">
      <c r="A4">
        <v>3</v>
      </c>
      <c r="C4" t="s">
        <v>7</v>
      </c>
    </row>
    <row r="5" spans="1:5" x14ac:dyDescent="0.3">
      <c r="A5">
        <v>4</v>
      </c>
      <c r="C5" t="s">
        <v>8</v>
      </c>
    </row>
    <row r="6" spans="1:5" x14ac:dyDescent="0.3">
      <c r="A6">
        <v>5</v>
      </c>
      <c r="C6" t="s">
        <v>9</v>
      </c>
    </row>
    <row r="7" spans="1:5" x14ac:dyDescent="0.3">
      <c r="A7">
        <v>6</v>
      </c>
      <c r="C7" t="s">
        <v>10</v>
      </c>
    </row>
    <row r="8" spans="1:5" x14ac:dyDescent="0.3">
      <c r="A8">
        <v>7</v>
      </c>
      <c r="C8" t="s">
        <v>11</v>
      </c>
    </row>
    <row r="9" spans="1:5" x14ac:dyDescent="0.3">
      <c r="A9">
        <v>8</v>
      </c>
      <c r="C9" t="s">
        <v>12</v>
      </c>
    </row>
    <row r="10" spans="1:5" x14ac:dyDescent="0.3">
      <c r="A10">
        <v>9</v>
      </c>
      <c r="C10" t="s">
        <v>13</v>
      </c>
    </row>
    <row r="11" spans="1:5" x14ac:dyDescent="0.3">
      <c r="A11">
        <v>10</v>
      </c>
      <c r="C11" t="s">
        <v>14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D2953-A642-463B-9198-4DF8C27AF2DD}">
  <dimension ref="A1:K28"/>
  <sheetViews>
    <sheetView tabSelected="1" workbookViewId="0">
      <selection activeCell="O7" sqref="O7"/>
    </sheetView>
  </sheetViews>
  <sheetFormatPr defaultRowHeight="14.4" x14ac:dyDescent="0.3"/>
  <cols>
    <col min="1" max="1" width="11.21875" bestFit="1" customWidth="1"/>
    <col min="8" max="8" width="12" bestFit="1" customWidth="1"/>
    <col min="9" max="9" width="14.33203125" bestFit="1" customWidth="1"/>
    <col min="10" max="10" width="13.21875" bestFit="1" customWidth="1"/>
    <col min="11" max="11" width="15.77734375" bestFit="1" customWidth="1"/>
  </cols>
  <sheetData>
    <row r="1" spans="1:11" x14ac:dyDescent="0.3">
      <c r="A1" s="2" t="s">
        <v>15</v>
      </c>
      <c r="B1" s="2"/>
      <c r="C1" s="2"/>
      <c r="D1" s="2"/>
      <c r="E1" s="2"/>
    </row>
    <row r="2" spans="1:11" x14ac:dyDescent="0.3">
      <c r="A2" t="s">
        <v>1</v>
      </c>
      <c r="B2" t="s">
        <v>16</v>
      </c>
      <c r="C2" t="s">
        <v>17</v>
      </c>
      <c r="D2" t="s">
        <v>18</v>
      </c>
      <c r="E2" t="s">
        <v>29</v>
      </c>
      <c r="F2" t="s">
        <v>30</v>
      </c>
      <c r="G2" t="s">
        <v>30</v>
      </c>
      <c r="H2" t="s">
        <v>31</v>
      </c>
      <c r="I2" t="s">
        <v>32</v>
      </c>
      <c r="J2" t="s">
        <v>33</v>
      </c>
      <c r="K2" t="s">
        <v>48</v>
      </c>
    </row>
    <row r="3" spans="1:11" x14ac:dyDescent="0.3">
      <c r="A3" t="s">
        <v>19</v>
      </c>
      <c r="B3">
        <v>71</v>
      </c>
      <c r="C3">
        <v>52</v>
      </c>
      <c r="D3">
        <v>79</v>
      </c>
      <c r="E3">
        <f>B3+C3+D3</f>
        <v>202</v>
      </c>
      <c r="F3" s="3">
        <f>(B3+C3+D3)/3</f>
        <v>67.333333333333329</v>
      </c>
      <c r="G3" s="3">
        <f>E3/3</f>
        <v>67.333333333333329</v>
      </c>
      <c r="H3" s="3">
        <f>((B3+C3+D3)/300)*100</f>
        <v>67.333333333333329</v>
      </c>
      <c r="I3">
        <f>300-E3</f>
        <v>98</v>
      </c>
      <c r="J3">
        <f>(E3*$I$13)/100</f>
        <v>36.36</v>
      </c>
      <c r="K3">
        <f>$B3+$C3</f>
        <v>123</v>
      </c>
    </row>
    <row r="4" spans="1:11" x14ac:dyDescent="0.3">
      <c r="A4" t="s">
        <v>20</v>
      </c>
      <c r="B4">
        <v>80</v>
      </c>
      <c r="C4">
        <v>58</v>
      </c>
      <c r="D4">
        <v>94</v>
      </c>
      <c r="E4">
        <f t="shared" ref="E4:E12" si="0">B4+C4+D4</f>
        <v>232</v>
      </c>
      <c r="F4" s="3">
        <f t="shared" ref="F4:F12" si="1">(B4+C4+D4)/3</f>
        <v>77.333333333333329</v>
      </c>
      <c r="G4" s="3">
        <f t="shared" ref="G4:G12" si="2">E4/3</f>
        <v>77.333333333333329</v>
      </c>
      <c r="H4" s="3">
        <f t="shared" ref="H4:H12" si="3">((B4+C4+D4)/300)*100</f>
        <v>77.333333333333329</v>
      </c>
      <c r="I4">
        <f t="shared" ref="I4:I12" si="4">300-E4</f>
        <v>68</v>
      </c>
      <c r="J4">
        <f t="shared" ref="J4:J12" si="5">(E4*$I$13)/100</f>
        <v>41.76</v>
      </c>
      <c r="K4">
        <f t="shared" ref="K4:K12" si="6">$B4+$C4</f>
        <v>138</v>
      </c>
    </row>
    <row r="5" spans="1:11" x14ac:dyDescent="0.3">
      <c r="A5" t="s">
        <v>21</v>
      </c>
      <c r="B5">
        <v>65</v>
      </c>
      <c r="C5">
        <v>67</v>
      </c>
      <c r="D5">
        <v>86</v>
      </c>
      <c r="E5">
        <f t="shared" si="0"/>
        <v>218</v>
      </c>
      <c r="F5" s="3">
        <f t="shared" si="1"/>
        <v>72.666666666666671</v>
      </c>
      <c r="G5" s="3">
        <f t="shared" si="2"/>
        <v>72.666666666666671</v>
      </c>
      <c r="H5" s="3">
        <f t="shared" si="3"/>
        <v>72.666666666666671</v>
      </c>
      <c r="I5">
        <f t="shared" si="4"/>
        <v>82</v>
      </c>
      <c r="J5">
        <f t="shared" si="5"/>
        <v>39.24</v>
      </c>
      <c r="K5">
        <f t="shared" si="6"/>
        <v>132</v>
      </c>
    </row>
    <row r="6" spans="1:11" x14ac:dyDescent="0.3">
      <c r="A6" t="s">
        <v>22</v>
      </c>
      <c r="B6">
        <v>43</v>
      </c>
      <c r="C6">
        <v>62</v>
      </c>
      <c r="D6">
        <v>95</v>
      </c>
      <c r="E6">
        <f t="shared" si="0"/>
        <v>200</v>
      </c>
      <c r="F6" s="3">
        <f t="shared" si="1"/>
        <v>66.666666666666671</v>
      </c>
      <c r="G6" s="3">
        <f t="shared" si="2"/>
        <v>66.666666666666671</v>
      </c>
      <c r="H6" s="3">
        <f t="shared" si="3"/>
        <v>66.666666666666657</v>
      </c>
      <c r="I6">
        <f t="shared" si="4"/>
        <v>100</v>
      </c>
      <c r="J6">
        <f t="shared" si="5"/>
        <v>36</v>
      </c>
      <c r="K6">
        <f t="shared" si="6"/>
        <v>105</v>
      </c>
    </row>
    <row r="7" spans="1:11" x14ac:dyDescent="0.3">
      <c r="A7" t="s">
        <v>23</v>
      </c>
      <c r="B7">
        <v>93</v>
      </c>
      <c r="C7">
        <v>62</v>
      </c>
      <c r="D7">
        <v>87</v>
      </c>
      <c r="E7">
        <f t="shared" si="0"/>
        <v>242</v>
      </c>
      <c r="F7" s="3">
        <f t="shared" si="1"/>
        <v>80.666666666666671</v>
      </c>
      <c r="G7" s="3">
        <f t="shared" si="2"/>
        <v>80.666666666666671</v>
      </c>
      <c r="H7" s="3">
        <f t="shared" si="3"/>
        <v>80.666666666666657</v>
      </c>
      <c r="I7">
        <f t="shared" si="4"/>
        <v>58</v>
      </c>
      <c r="J7">
        <f t="shared" si="5"/>
        <v>43.56</v>
      </c>
      <c r="K7">
        <f t="shared" si="6"/>
        <v>155</v>
      </c>
    </row>
    <row r="8" spans="1:11" x14ac:dyDescent="0.3">
      <c r="A8" t="s">
        <v>24</v>
      </c>
      <c r="B8">
        <v>49</v>
      </c>
      <c r="C8">
        <v>44</v>
      </c>
      <c r="D8">
        <v>54</v>
      </c>
      <c r="E8">
        <f t="shared" si="0"/>
        <v>147</v>
      </c>
      <c r="F8" s="3">
        <f t="shared" si="1"/>
        <v>49</v>
      </c>
      <c r="G8" s="3">
        <f t="shared" si="2"/>
        <v>49</v>
      </c>
      <c r="H8" s="3">
        <f t="shared" si="3"/>
        <v>49</v>
      </c>
      <c r="I8">
        <f t="shared" si="4"/>
        <v>153</v>
      </c>
      <c r="J8">
        <f t="shared" si="5"/>
        <v>26.46</v>
      </c>
      <c r="K8">
        <f t="shared" si="6"/>
        <v>93</v>
      </c>
    </row>
    <row r="9" spans="1:11" x14ac:dyDescent="0.3">
      <c r="A9" t="s">
        <v>25</v>
      </c>
      <c r="B9">
        <v>87</v>
      </c>
      <c r="C9">
        <v>63</v>
      </c>
      <c r="D9">
        <v>58</v>
      </c>
      <c r="E9">
        <f t="shared" si="0"/>
        <v>208</v>
      </c>
      <c r="F9" s="3">
        <f t="shared" si="1"/>
        <v>69.333333333333329</v>
      </c>
      <c r="G9" s="3">
        <f t="shared" si="2"/>
        <v>69.333333333333329</v>
      </c>
      <c r="H9" s="3">
        <f t="shared" si="3"/>
        <v>69.333333333333343</v>
      </c>
      <c r="I9">
        <f t="shared" si="4"/>
        <v>92</v>
      </c>
      <c r="J9">
        <f t="shared" si="5"/>
        <v>37.44</v>
      </c>
      <c r="K9">
        <f t="shared" si="6"/>
        <v>150</v>
      </c>
    </row>
    <row r="10" spans="1:11" x14ac:dyDescent="0.3">
      <c r="A10" t="s">
        <v>28</v>
      </c>
      <c r="B10">
        <v>59</v>
      </c>
      <c r="C10">
        <v>38</v>
      </c>
      <c r="D10">
        <v>79</v>
      </c>
      <c r="E10">
        <f t="shared" si="0"/>
        <v>176</v>
      </c>
      <c r="F10" s="3">
        <f t="shared" si="1"/>
        <v>58.666666666666664</v>
      </c>
      <c r="G10" s="3">
        <f t="shared" si="2"/>
        <v>58.666666666666664</v>
      </c>
      <c r="H10" s="3">
        <f t="shared" si="3"/>
        <v>58.666666666666664</v>
      </c>
      <c r="I10">
        <f t="shared" si="4"/>
        <v>124</v>
      </c>
      <c r="J10">
        <f t="shared" si="5"/>
        <v>31.68</v>
      </c>
      <c r="K10">
        <f t="shared" si="6"/>
        <v>97</v>
      </c>
    </row>
    <row r="11" spans="1:11" x14ac:dyDescent="0.3">
      <c r="A11" t="s">
        <v>26</v>
      </c>
      <c r="B11">
        <v>92</v>
      </c>
      <c r="C11">
        <v>44</v>
      </c>
      <c r="D11">
        <v>76</v>
      </c>
      <c r="E11">
        <f t="shared" si="0"/>
        <v>212</v>
      </c>
      <c r="F11" s="3">
        <f t="shared" si="1"/>
        <v>70.666666666666671</v>
      </c>
      <c r="G11" s="3">
        <f t="shared" si="2"/>
        <v>70.666666666666671</v>
      </c>
      <c r="H11" s="3">
        <f t="shared" si="3"/>
        <v>70.666666666666671</v>
      </c>
      <c r="I11">
        <f t="shared" si="4"/>
        <v>88</v>
      </c>
      <c r="J11">
        <f t="shared" si="5"/>
        <v>38.159999999999997</v>
      </c>
      <c r="K11">
        <f t="shared" si="6"/>
        <v>136</v>
      </c>
    </row>
    <row r="12" spans="1:11" x14ac:dyDescent="0.3">
      <c r="A12" t="s">
        <v>27</v>
      </c>
      <c r="B12">
        <v>85</v>
      </c>
      <c r="C12">
        <v>74</v>
      </c>
      <c r="D12">
        <v>68</v>
      </c>
      <c r="E12">
        <f t="shared" si="0"/>
        <v>227</v>
      </c>
      <c r="F12" s="3">
        <f t="shared" si="1"/>
        <v>75.666666666666671</v>
      </c>
      <c r="G12" s="3">
        <f t="shared" si="2"/>
        <v>75.666666666666671</v>
      </c>
      <c r="H12" s="3">
        <f t="shared" si="3"/>
        <v>75.666666666666671</v>
      </c>
      <c r="I12">
        <f t="shared" si="4"/>
        <v>73</v>
      </c>
      <c r="J12">
        <f t="shared" si="5"/>
        <v>40.86</v>
      </c>
      <c r="K12">
        <f t="shared" si="6"/>
        <v>159</v>
      </c>
    </row>
    <row r="13" spans="1:11" x14ac:dyDescent="0.3">
      <c r="H13" t="s">
        <v>47</v>
      </c>
      <c r="I13">
        <v>18</v>
      </c>
    </row>
    <row r="14" spans="1:11" x14ac:dyDescent="0.3">
      <c r="A14" s="2" t="s">
        <v>15</v>
      </c>
      <c r="B14" s="2"/>
      <c r="C14" s="2"/>
      <c r="D14" s="2"/>
      <c r="E14" s="2"/>
      <c r="F14" s="2"/>
      <c r="G14" s="2"/>
      <c r="H14" s="2"/>
      <c r="I14" s="2"/>
      <c r="J14" s="2"/>
    </row>
    <row r="15" spans="1:11" x14ac:dyDescent="0.3">
      <c r="A15" t="s">
        <v>1</v>
      </c>
      <c r="B15" t="s">
        <v>16</v>
      </c>
      <c r="C15" t="s">
        <v>17</v>
      </c>
      <c r="D15" t="s">
        <v>18</v>
      </c>
      <c r="E15" t="s">
        <v>29</v>
      </c>
      <c r="F15" t="s">
        <v>30</v>
      </c>
      <c r="G15" t="s">
        <v>30</v>
      </c>
      <c r="H15" t="s">
        <v>31</v>
      </c>
      <c r="I15" t="s">
        <v>32</v>
      </c>
      <c r="J15" t="s">
        <v>34</v>
      </c>
    </row>
    <row r="16" spans="1:11" x14ac:dyDescent="0.3">
      <c r="A16" t="s">
        <v>35</v>
      </c>
      <c r="B16">
        <v>66</v>
      </c>
      <c r="C16">
        <v>61</v>
      </c>
      <c r="D16">
        <v>50</v>
      </c>
      <c r="E16">
        <f>B16+C16+D16</f>
        <v>177</v>
      </c>
      <c r="F16" s="3">
        <f>(B16+C16+D16)/3</f>
        <v>59</v>
      </c>
      <c r="G16" s="3">
        <f>E16/3</f>
        <v>59</v>
      </c>
      <c r="H16" s="4">
        <f>((B16+C16+D16)/300)*100</f>
        <v>59</v>
      </c>
      <c r="I16">
        <f>300-E16</f>
        <v>123</v>
      </c>
      <c r="J16">
        <f>E16*$H$28/100</f>
        <v>31.86</v>
      </c>
    </row>
    <row r="17" spans="1:10" x14ac:dyDescent="0.3">
      <c r="A17" t="s">
        <v>36</v>
      </c>
      <c r="B17">
        <v>93</v>
      </c>
      <c r="C17">
        <v>80</v>
      </c>
      <c r="D17">
        <v>58</v>
      </c>
      <c r="E17">
        <f t="shared" ref="E17:E26" si="7">B17+C17+D17</f>
        <v>231</v>
      </c>
      <c r="F17" s="3">
        <f t="shared" ref="F17:F26" si="8">(B17+C17+D17)/3</f>
        <v>77</v>
      </c>
      <c r="G17" s="3">
        <f t="shared" ref="G17:G26" si="9">E17/3</f>
        <v>77</v>
      </c>
      <c r="H17" s="4">
        <f t="shared" ref="H17:H26" si="10">((B17+C17+D17)/300)*100</f>
        <v>77</v>
      </c>
      <c r="I17">
        <f t="shared" ref="I17:I26" si="11">300-E17</f>
        <v>69</v>
      </c>
      <c r="J17">
        <f t="shared" ref="J17:J26" si="12">E17*$H$28/100</f>
        <v>41.58</v>
      </c>
    </row>
    <row r="18" spans="1:10" x14ac:dyDescent="0.3">
      <c r="A18" t="s">
        <v>37</v>
      </c>
      <c r="B18">
        <v>63</v>
      </c>
      <c r="C18">
        <v>71</v>
      </c>
      <c r="D18">
        <v>49</v>
      </c>
      <c r="E18">
        <f t="shared" si="7"/>
        <v>183</v>
      </c>
      <c r="F18" s="3">
        <f t="shared" si="8"/>
        <v>61</v>
      </c>
      <c r="G18" s="3">
        <f t="shared" si="9"/>
        <v>61</v>
      </c>
      <c r="H18" s="4">
        <f t="shared" si="10"/>
        <v>61</v>
      </c>
      <c r="I18">
        <f t="shared" si="11"/>
        <v>117</v>
      </c>
      <c r="J18">
        <f t="shared" si="12"/>
        <v>32.94</v>
      </c>
    </row>
    <row r="19" spans="1:10" x14ac:dyDescent="0.3">
      <c r="A19" t="s">
        <v>38</v>
      </c>
      <c r="B19">
        <v>44</v>
      </c>
      <c r="C19">
        <v>91</v>
      </c>
      <c r="D19">
        <v>46</v>
      </c>
      <c r="E19">
        <f t="shared" si="7"/>
        <v>181</v>
      </c>
      <c r="F19" s="3">
        <f t="shared" si="8"/>
        <v>60.333333333333336</v>
      </c>
      <c r="G19" s="3">
        <f t="shared" si="9"/>
        <v>60.333333333333336</v>
      </c>
      <c r="H19" s="4">
        <f t="shared" si="10"/>
        <v>60.333333333333336</v>
      </c>
      <c r="I19">
        <f t="shared" si="11"/>
        <v>119</v>
      </c>
      <c r="J19">
        <f t="shared" si="12"/>
        <v>32.58</v>
      </c>
    </row>
    <row r="20" spans="1:10" x14ac:dyDescent="0.3">
      <c r="A20" t="s">
        <v>39</v>
      </c>
      <c r="B20">
        <v>80</v>
      </c>
      <c r="C20">
        <v>72</v>
      </c>
      <c r="D20">
        <v>30</v>
      </c>
      <c r="E20">
        <f t="shared" si="7"/>
        <v>182</v>
      </c>
      <c r="F20" s="3">
        <f t="shared" si="8"/>
        <v>60.666666666666664</v>
      </c>
      <c r="G20" s="3">
        <f t="shared" si="9"/>
        <v>60.666666666666664</v>
      </c>
      <c r="H20" s="4">
        <f t="shared" si="10"/>
        <v>60.666666666666671</v>
      </c>
      <c r="I20">
        <f t="shared" si="11"/>
        <v>118</v>
      </c>
      <c r="J20">
        <f t="shared" si="12"/>
        <v>32.76</v>
      </c>
    </row>
    <row r="21" spans="1:10" x14ac:dyDescent="0.3">
      <c r="A21" t="s">
        <v>40</v>
      </c>
      <c r="B21">
        <v>93</v>
      </c>
      <c r="C21">
        <v>78</v>
      </c>
      <c r="D21">
        <v>30</v>
      </c>
      <c r="E21">
        <f t="shared" si="7"/>
        <v>201</v>
      </c>
      <c r="F21" s="3">
        <f t="shared" si="8"/>
        <v>67</v>
      </c>
      <c r="G21" s="3">
        <f t="shared" si="9"/>
        <v>67</v>
      </c>
      <c r="H21" s="4">
        <f t="shared" si="10"/>
        <v>67</v>
      </c>
      <c r="I21">
        <f t="shared" si="11"/>
        <v>99</v>
      </c>
      <c r="J21">
        <f t="shared" si="12"/>
        <v>36.18</v>
      </c>
    </row>
    <row r="22" spans="1:10" x14ac:dyDescent="0.3">
      <c r="A22" t="s">
        <v>41</v>
      </c>
      <c r="B22">
        <v>52</v>
      </c>
      <c r="C22">
        <v>67</v>
      </c>
      <c r="D22">
        <v>31</v>
      </c>
      <c r="E22">
        <f t="shared" si="7"/>
        <v>150</v>
      </c>
      <c r="F22" s="3">
        <f t="shared" si="8"/>
        <v>50</v>
      </c>
      <c r="G22" s="3">
        <f t="shared" si="9"/>
        <v>50</v>
      </c>
      <c r="H22" s="4">
        <f t="shared" si="10"/>
        <v>50</v>
      </c>
      <c r="I22">
        <f t="shared" si="11"/>
        <v>150</v>
      </c>
      <c r="J22">
        <f t="shared" si="12"/>
        <v>27</v>
      </c>
    </row>
    <row r="23" spans="1:10" x14ac:dyDescent="0.3">
      <c r="A23" t="s">
        <v>42</v>
      </c>
      <c r="B23">
        <v>83</v>
      </c>
      <c r="C23">
        <v>34</v>
      </c>
      <c r="D23">
        <v>65</v>
      </c>
      <c r="E23">
        <f t="shared" si="7"/>
        <v>182</v>
      </c>
      <c r="F23" s="3">
        <f t="shared" si="8"/>
        <v>60.666666666666664</v>
      </c>
      <c r="G23" s="3">
        <f t="shared" si="9"/>
        <v>60.666666666666664</v>
      </c>
      <c r="H23" s="4">
        <f t="shared" si="10"/>
        <v>60.666666666666671</v>
      </c>
      <c r="I23">
        <f t="shared" si="11"/>
        <v>118</v>
      </c>
      <c r="J23">
        <f t="shared" si="12"/>
        <v>32.76</v>
      </c>
    </row>
    <row r="24" spans="1:10" x14ac:dyDescent="0.3">
      <c r="A24" t="s">
        <v>43</v>
      </c>
      <c r="B24">
        <v>59</v>
      </c>
      <c r="C24">
        <v>89</v>
      </c>
      <c r="D24">
        <v>59</v>
      </c>
      <c r="E24">
        <f t="shared" si="7"/>
        <v>207</v>
      </c>
      <c r="F24" s="3">
        <f t="shared" si="8"/>
        <v>69</v>
      </c>
      <c r="G24" s="3">
        <f t="shared" si="9"/>
        <v>69</v>
      </c>
      <c r="H24" s="4">
        <f t="shared" si="10"/>
        <v>69</v>
      </c>
      <c r="I24">
        <f t="shared" si="11"/>
        <v>93</v>
      </c>
      <c r="J24">
        <f t="shared" si="12"/>
        <v>37.26</v>
      </c>
    </row>
    <row r="25" spans="1:10" x14ac:dyDescent="0.3">
      <c r="A25" t="s">
        <v>44</v>
      </c>
      <c r="B25">
        <v>65</v>
      </c>
      <c r="C25">
        <v>64</v>
      </c>
      <c r="D25">
        <v>53</v>
      </c>
      <c r="E25">
        <f t="shared" si="7"/>
        <v>182</v>
      </c>
      <c r="F25" s="3">
        <f t="shared" si="8"/>
        <v>60.666666666666664</v>
      </c>
      <c r="G25" s="3">
        <f t="shared" si="9"/>
        <v>60.666666666666664</v>
      </c>
      <c r="H25" s="4">
        <f t="shared" si="10"/>
        <v>60.666666666666671</v>
      </c>
      <c r="I25">
        <f t="shared" si="11"/>
        <v>118</v>
      </c>
      <c r="J25">
        <f t="shared" si="12"/>
        <v>32.76</v>
      </c>
    </row>
    <row r="26" spans="1:10" x14ac:dyDescent="0.3">
      <c r="A26" t="s">
        <v>45</v>
      </c>
      <c r="B26">
        <v>74</v>
      </c>
      <c r="C26">
        <v>38</v>
      </c>
      <c r="D26">
        <v>92</v>
      </c>
      <c r="E26">
        <f t="shared" si="7"/>
        <v>204</v>
      </c>
      <c r="F26" s="3">
        <f t="shared" si="8"/>
        <v>68</v>
      </c>
      <c r="G26" s="3">
        <f t="shared" si="9"/>
        <v>68</v>
      </c>
      <c r="H26" s="4">
        <f t="shared" si="10"/>
        <v>68</v>
      </c>
      <c r="I26">
        <f t="shared" si="11"/>
        <v>96</v>
      </c>
      <c r="J26">
        <f t="shared" si="12"/>
        <v>36.72</v>
      </c>
    </row>
    <row r="28" spans="1:10" x14ac:dyDescent="0.3">
      <c r="G28" t="s">
        <v>46</v>
      </c>
      <c r="H28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D6F64-4BBC-4DDD-B9A2-2F146C876F71}">
  <dimension ref="A1"/>
  <sheetViews>
    <sheetView workbookViewId="0">
      <selection activeCell="D18" sqref="D18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16-09-26</vt:lpstr>
      <vt:lpstr>17-09-26</vt:lpstr>
      <vt:lpstr>18-09-2026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snehal ovhal</dc:creator>
  <cp:lastModifiedBy>snehal ovhal</cp:lastModifiedBy>
  <dcterms:created xsi:type="dcterms:W3CDTF">2026-09-16T14:26:32Z</dcterms:created>
  <dcterms:modified xsi:type="dcterms:W3CDTF">2026-09-18T14:18:36Z</dcterms:modified>
</cp:coreProperties>
</file>